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sait-my.sharepoint.com/personal/ivo_ferreira_esa_int/Documents/NewAthenaE2EPSF_v3/Distributions/"/>
    </mc:Choice>
  </mc:AlternateContent>
  <xr:revisionPtr revIDLastSave="32" documentId="14_{6BA1779D-2885-C748-8AC6-FE991EB9936B}" xr6:coauthVersionLast="47" xr6:coauthVersionMax="47" xr10:uidLastSave="{9BD2354D-6FCB-AF4A-A251-116AA03F05E7}"/>
  <bookViews>
    <workbookView xWindow="0" yWindow="760" windowWidth="30240" windowHeight="17480" xr2:uid="{AFC83F48-706F-D84D-8CCC-1BE76B3461E2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" i="2" l="1"/>
  <c r="H13" i="2"/>
  <c r="H12" i="2"/>
  <c r="H11" i="2"/>
  <c r="G10" i="2"/>
  <c r="H10" i="2" s="1"/>
  <c r="H15" i="2" s="1"/>
  <c r="F2" i="2"/>
  <c r="E2" i="2"/>
  <c r="D2" i="2"/>
  <c r="C2" i="2"/>
  <c r="B2" i="2"/>
  <c r="B4" i="2" l="1"/>
</calcChain>
</file>

<file path=xl/sharedStrings.xml><?xml version="1.0" encoding="utf-8"?>
<sst xmlns="http://schemas.openxmlformats.org/spreadsheetml/2006/main" count="31" uniqueCount="25">
  <si>
    <t>MM_PSF</t>
  </si>
  <si>
    <t>A_eff</t>
  </si>
  <si>
    <t>Alignment</t>
  </si>
  <si>
    <t>Gravity offload</t>
  </si>
  <si>
    <t>Thermal</t>
  </si>
  <si>
    <t>1 keV [row#]</t>
  </si>
  <si>
    <t># Opt 1</t>
  </si>
  <si>
    <t># Opt 2</t>
  </si>
  <si>
    <t># Opt 3</t>
  </si>
  <si>
    <t># Opt 4</t>
  </si>
  <si>
    <t># Opt 5</t>
  </si>
  <si>
    <t>Total # options</t>
  </si>
  <si>
    <t>Standard medialario (*)</t>
  </si>
  <si>
    <t>GZ (*)</t>
  </si>
  <si>
    <t>FMS tilt 0 deg (*)</t>
  </si>
  <si>
    <t>0 (*)</t>
  </si>
  <si>
    <t>Placement</t>
  </si>
  <si>
    <t>cross</t>
  </si>
  <si>
    <t>optimize</t>
  </si>
  <si>
    <t>fine</t>
  </si>
  <si>
    <t>-</t>
  </si>
  <si>
    <t>elliptical (*)</t>
  </si>
  <si>
    <t>coarse (*)</t>
  </si>
  <si>
    <t>Fixed Sym Gaussian (sigma_rad=0.05 micron, sigma_azi=0.05 micron)</t>
  </si>
  <si>
    <t>Fixed Sym Gaussian 8"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</si>
</sst>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3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037BA-FCD1-CB41-A0C1-80209FDB42FB}">
  <dimension ref="A1:H3"/>
  <sheetViews>
    <sheetView tabSelected="1" zoomScale="125" zoomScaleNormal="100" workbookViewId="0">
      <selection activeCell="C5" sqref="C5"/>
    </sheetView>
  </sheetViews>
  <sheetFormatPr baseColWidth="10" defaultRowHeight="16" x14ac:dyDescent="0.2"/>
  <cols>
    <col min="1" max="1" width="15.1640625" customWidth="1"/>
    <col min="2" max="2" width="58.5" bestFit="1" customWidth="1"/>
    <col min="3" max="3" width="23.33203125" customWidth="1"/>
    <col min="4" max="4" width="17.1640625" customWidth="1"/>
    <col min="5" max="5" width="14.5" bestFit="1" customWidth="1"/>
    <col min="6" max="8" width="14.5" customWidth="1"/>
    <col min="10" max="10" width="13" bestFit="1" customWidth="1"/>
  </cols>
  <sheetData>
    <row r="1" spans="1:8" x14ac:dyDescent="0.2">
      <c r="A1" s="1" t="s">
        <v>1</v>
      </c>
      <c r="B1" s="1" t="s">
        <v>0</v>
      </c>
      <c r="C1" s="1" t="s">
        <v>2</v>
      </c>
      <c r="D1" s="1" t="s">
        <v>3</v>
      </c>
      <c r="E1" s="1" t="s">
        <v>4</v>
      </c>
      <c r="H1" s="1"/>
    </row>
    <row r="2" spans="1:8" x14ac:dyDescent="0.2">
      <c r="A2" t="s">
        <v>5</v>
      </c>
      <c r="B2" t="s">
        <v>23</v>
      </c>
      <c r="C2">
        <v>0</v>
      </c>
      <c r="D2">
        <v>0</v>
      </c>
      <c r="E2">
        <v>0</v>
      </c>
    </row>
    <row r="3" spans="1:8" x14ac:dyDescent="0.2">
      <c r="B3" t="s">
        <v>24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CA333-AB36-214B-99FD-C003F6CA242A}">
  <dimension ref="A1:O15"/>
  <sheetViews>
    <sheetView workbookViewId="0">
      <selection activeCell="K1" sqref="K1:K3"/>
    </sheetView>
  </sheetViews>
  <sheetFormatPr baseColWidth="10" defaultRowHeight="16" x14ac:dyDescent="0.2"/>
  <sheetData>
    <row r="1" spans="1:15" x14ac:dyDescent="0.2"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  <c r="K1" s="1" t="s">
        <v>2</v>
      </c>
      <c r="L1" s="1" t="s">
        <v>3</v>
      </c>
      <c r="M1" s="1" t="s">
        <v>4</v>
      </c>
      <c r="N1" s="1" t="s">
        <v>16</v>
      </c>
      <c r="O1" s="1" t="s">
        <v>18</v>
      </c>
    </row>
    <row r="2" spans="1:15" x14ac:dyDescent="0.2">
      <c r="B2">
        <f>COUNTIF(Sheet1!A1:A31,"&lt;&gt;")-1</f>
        <v>1</v>
      </c>
      <c r="C2">
        <f>COUNTIF(Sheet1!B1:B31,"&lt;&gt;")-1</f>
        <v>2</v>
      </c>
      <c r="D2">
        <f>COUNTIF(Sheet1!C5:C31,"&lt;&gt;")-1</f>
        <v>-1</v>
      </c>
      <c r="E2">
        <f>COUNTIF(Sheet1!D5:D31,"&lt;&gt;")-1</f>
        <v>-1</v>
      </c>
      <c r="F2">
        <f>COUNTIF(Sheet1!E5:E31,"&lt;&gt;")-1</f>
        <v>-1</v>
      </c>
      <c r="K2" t="s">
        <v>15</v>
      </c>
      <c r="L2" t="s">
        <v>15</v>
      </c>
      <c r="M2" t="s">
        <v>15</v>
      </c>
      <c r="N2" t="s">
        <v>20</v>
      </c>
      <c r="O2" t="s">
        <v>20</v>
      </c>
    </row>
    <row r="3" spans="1:15" x14ac:dyDescent="0.2">
      <c r="B3" s="1" t="s">
        <v>11</v>
      </c>
      <c r="K3" t="s">
        <v>12</v>
      </c>
      <c r="L3" t="s">
        <v>13</v>
      </c>
      <c r="M3" t="s">
        <v>14</v>
      </c>
      <c r="N3" t="s">
        <v>17</v>
      </c>
      <c r="O3" t="s">
        <v>22</v>
      </c>
    </row>
    <row r="4" spans="1:15" x14ac:dyDescent="0.2">
      <c r="B4" s="2">
        <f>B2*C2*D2*E2*F2</f>
        <v>-2</v>
      </c>
      <c r="N4" t="s">
        <v>21</v>
      </c>
      <c r="O4" t="s">
        <v>19</v>
      </c>
    </row>
    <row r="10" spans="1:15" x14ac:dyDescent="0.2">
      <c r="A10">
        <v>2</v>
      </c>
      <c r="B10">
        <v>4</v>
      </c>
      <c r="C10">
        <v>2</v>
      </c>
      <c r="D10">
        <v>1</v>
      </c>
      <c r="E10">
        <v>1</v>
      </c>
      <c r="G10">
        <f>(B10*C10*D10*E10)</f>
        <v>8</v>
      </c>
      <c r="H10">
        <f>36*G10</f>
        <v>288</v>
      </c>
    </row>
    <row r="11" spans="1:15" x14ac:dyDescent="0.2">
      <c r="H11">
        <f>25*A10*C10*D10*E10</f>
        <v>100</v>
      </c>
    </row>
    <row r="12" spans="1:15" x14ac:dyDescent="0.2">
      <c r="H12">
        <f>6*A10*B10*D10*E10</f>
        <v>48</v>
      </c>
    </row>
    <row r="13" spans="1:15" x14ac:dyDescent="0.2">
      <c r="H13">
        <f>4*A10*B10*C10*E10</f>
        <v>64</v>
      </c>
    </row>
    <row r="14" spans="1:15" x14ac:dyDescent="0.2">
      <c r="H14">
        <f>4*A10*B10*C10*D10</f>
        <v>64</v>
      </c>
    </row>
    <row r="15" spans="1:15" x14ac:dyDescent="0.2">
      <c r="H15" s="1">
        <f>SUM(H10:H14)</f>
        <v>564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976fa30-1907-4356-8241-62ea5e1c0256}" enabled="1" method="Privileged" siteId="{9a5cacd0-2bef-4dd7-ac5c-7ebe1f54f495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Ivo Ferreira</dc:creator>
  <cp:lastModifiedBy>Ivo Ferreira</cp:lastModifiedBy>
  <dcterms:created xsi:type="dcterms:W3CDTF">2026-01-20T14:24:26Z</dcterms:created>
  <dcterms:modified xsi:type="dcterms:W3CDTF">2026-01-22T15:56:35Z</dcterms:modified>
</cp:coreProperties>
</file>